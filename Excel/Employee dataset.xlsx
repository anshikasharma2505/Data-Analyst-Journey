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c144a1e1d66ae3/Documents/"/>
    </mc:Choice>
  </mc:AlternateContent>
  <xr:revisionPtr revIDLastSave="363" documentId="8_{034A8F77-7281-45EB-8365-4AA75F3AE758}" xr6:coauthVersionLast="47" xr6:coauthVersionMax="47" xr10:uidLastSave="{78E15883-07A0-4F60-88AB-0DCEECD697E6}"/>
  <bookViews>
    <workbookView xWindow="-110" yWindow="-110" windowWidth="19420" windowHeight="10300" activeTab="2" xr2:uid="{6804B23E-6932-487D-869F-40ADA26658B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3" l="1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P14" i="3"/>
  <c r="P13" i="3"/>
  <c r="P12" i="3"/>
  <c r="P11" i="3"/>
  <c r="P10" i="3"/>
  <c r="P9" i="3"/>
  <c r="P8" i="3"/>
  <c r="P7" i="3"/>
  <c r="P6" i="3"/>
  <c r="P5" i="3"/>
  <c r="P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4" i="3"/>
</calcChain>
</file>

<file path=xl/sharedStrings.xml><?xml version="1.0" encoding="utf-8"?>
<sst xmlns="http://schemas.openxmlformats.org/spreadsheetml/2006/main" count="63" uniqueCount="49">
  <si>
    <t>Employee Dataset</t>
  </si>
  <si>
    <t>Emp ID</t>
  </si>
  <si>
    <t>Name</t>
  </si>
  <si>
    <t>Dept</t>
  </si>
  <si>
    <t>Age</t>
  </si>
  <si>
    <t>Experience</t>
  </si>
  <si>
    <t>Ansh</t>
  </si>
  <si>
    <t>Zakir</t>
  </si>
  <si>
    <t>Bishu</t>
  </si>
  <si>
    <t>Charu</t>
  </si>
  <si>
    <t>Yashika</t>
  </si>
  <si>
    <t>Qutub</t>
  </si>
  <si>
    <t>MIRAB</t>
  </si>
  <si>
    <t>Nisha</t>
  </si>
  <si>
    <t>Aditya</t>
  </si>
  <si>
    <t>Chenab</t>
  </si>
  <si>
    <t>Deepti</t>
  </si>
  <si>
    <t>Nishu</t>
  </si>
  <si>
    <t>Anshika</t>
  </si>
  <si>
    <t>Krishna</t>
  </si>
  <si>
    <t>Kaku</t>
  </si>
  <si>
    <t>Shreya</t>
  </si>
  <si>
    <t>Ishita</t>
  </si>
  <si>
    <t>Aashita</t>
  </si>
  <si>
    <t>IT</t>
  </si>
  <si>
    <t>SALES</t>
  </si>
  <si>
    <t>HR</t>
  </si>
  <si>
    <t>MEDIA</t>
  </si>
  <si>
    <t>Aryan</t>
  </si>
  <si>
    <t>MARKETING</t>
  </si>
  <si>
    <t>SOCIAL MEDIA</t>
  </si>
  <si>
    <t>INTERN</t>
  </si>
  <si>
    <t>Sal(</t>
  </si>
  <si>
    <t>SAL CATEGORY</t>
  </si>
  <si>
    <t>PROMOTION</t>
  </si>
  <si>
    <t>BONUS</t>
  </si>
  <si>
    <t>EMPLOYEE DASHBOARD</t>
  </si>
  <si>
    <t>TOTAL EMPLOYEES</t>
  </si>
  <si>
    <t>TOTAL SALRY</t>
  </si>
  <si>
    <t>AVERAGE SALARY</t>
  </si>
  <si>
    <t>HIGHEST SALARY</t>
  </si>
  <si>
    <t>LOWEST SALARY</t>
  </si>
  <si>
    <t>HIGHEST EXPERIENCE</t>
  </si>
  <si>
    <t>AVERAGE AGE</t>
  </si>
  <si>
    <t>IT EMPLOYEES</t>
  </si>
  <si>
    <t>HR EMPLOYEES</t>
  </si>
  <si>
    <t>SALES EMPLOYEES</t>
  </si>
  <si>
    <t>MARKETING EMPLOYEES</t>
  </si>
  <si>
    <t>FORMULAES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</si>
</sst>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 [$₹-4009]\ * #,##0_ ;_ [$₹-4009]\ * \-#,##0_ ;_ [$₹-4009]\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3" borderId="0" xfId="0" applyNumberFormat="1" applyFill="1"/>
    <xf numFmtId="164" fontId="0" fillId="0" borderId="0" xfId="0" applyNumberFormat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_ [$₹-4009]\ * #,##0_ ;_ [$₹-4009]\ * \-#,##0_ ;_ [$₹-4009]\ * &quot;-&quot;??_ ;_ @_ "/>
    </dxf>
    <dxf>
      <numFmt numFmtId="164" formatCode="_ [$₹-4009]\ * #,##0_ ;_ [$₹-4009]\ * \-#,##0_ ;_ [$₹-4009]\ * &quot;-&quot;??_ ;_ @_ "/>
    </dxf>
    <dxf>
      <numFmt numFmtId="34" formatCode="_ &quot;₹&quot;\ * #,##0.00_ ;_ &quot;₹&quot;\ * \-#,##0.00_ ;_ &quot;₹&quot;\ * &quot;-&quot;??_ ;_ 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74A8F0-D2F0-4B53-955C-608518D69FC5}" name="Table1" displayName="Table1" ref="D3:J24" totalsRowCount="1" headerRowDxfId="6">
  <autoFilter ref="D3:J23" xr:uid="{CF74A8F0-D2F0-4B53-955C-608518D69FC5}"/>
  <sortState xmlns:xlrd2="http://schemas.microsoft.com/office/spreadsheetml/2017/richdata2" ref="D4:I23">
    <sortCondition ref="D3:D23"/>
  </sortState>
  <tableColumns count="7">
    <tableColumn id="1" xr3:uid="{D842FDE1-4AF3-40FB-A9DA-96B5F6BC2F64}" name="Emp ID"/>
    <tableColumn id="2" xr3:uid="{D0F59C67-82EE-444A-ABFD-2BE94990F7E9}" name="Name" totalsRowDxfId="5"/>
    <tableColumn id="3" xr3:uid="{4C083D8A-077A-460B-860E-0CE56B30D4CE}" name="Dept"/>
    <tableColumn id="4" xr3:uid="{D3ADC279-2C51-4D1F-9604-8532870A8464}" name="Sal(" dataDxfId="3" totalsRowDxfId="4"/>
    <tableColumn id="5" xr3:uid="{F9F46E14-13CE-4C96-B2E7-508C47C2C4BF}" name="Age"/>
    <tableColumn id="6" xr3:uid="{AFF69F1C-6AE6-4F8D-830D-62F0C12BE0EF}" name="Experience"/>
    <tableColumn id="7" xr3:uid="{69F62249-7E19-4402-AF8A-63B58DAA9794}" name="SAL CATEGORY" dataDxfId="0">
      <calculatedColumnFormula>IF(G4&gt;=30000,"High","Low")</calculatedColumnFormula>
    </tableColumn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AF02A4-0D81-4C5C-832F-CF95BF994EA1}" name="Table2" displayName="Table2" ref="O3:P14" totalsRowShown="0" headerRowDxfId="2">
  <autoFilter ref="O3:P14" xr:uid="{CEAF02A4-0D81-4C5C-832F-CF95BF994EA1}"/>
  <tableColumns count="2">
    <tableColumn id="1" xr3:uid="{AE761D33-81C3-4940-BD99-3DBA088E823B}" name="EMPLOYEE DASHBOARD"/>
    <tableColumn id="2" xr3:uid="{CA2FD675-3DFF-472F-BE8E-D1D96D22301F}" name="FORMULA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8D2159-98CB-44C8-BBBC-9813A52E7CCE}" name="Table3" displayName="Table3" ref="K3:L23" totalsRowShown="0" headerRowDxfId="1">
  <autoFilter ref="K3:L23" xr:uid="{9C8D2159-98CB-44C8-BBBC-9813A52E7CCE}"/>
  <tableColumns count="2">
    <tableColumn id="1" xr3:uid="{FA73879A-C6E7-49CE-A963-35D455B493EA}" name="PROMOTION">
      <calculatedColumnFormula>IF(AND(Table1[[#This Row],[Sal(]]&gt;=30000,Table1[[#This Row],[Experience]]&gt;0),"YES","NO")</calculatedColumnFormula>
    </tableColumn>
    <tableColumn id="2" xr3:uid="{722250E3-BCF8-450C-8265-DD230CFB5A64}" name="BONUS">
      <calculatedColumnFormula>IF(OR(Table1[[#This Row],[Sal(]]&gt;40000,Table1[[#This Row],[Experience]]&gt;=2),"YES","NO")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9F860F9-F10A-4590-808A-48A5157582F4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8QVRAMaBV3l4XB-6qrUP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0A195-0DAC-4EE0-B490-745DC4040FB3}">
  <dimension ref="A1:M1"/>
  <sheetViews>
    <sheetView workbookViewId="0">
      <selection activeCell="A2" sqref="A2"/>
    </sheetView>
  </sheetViews>
  <sheetFormatPr defaultRowHeight="14.5" x14ac:dyDescent="0.35"/>
  <cols>
    <col min="1" max="1" width="52.36328125" customWidth="1"/>
  </cols>
  <sheetData>
    <row r="1" spans="1:13" ht="44" customHeight="1" x14ac:dyDescent="0.3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BAE7A-151F-4126-8AC7-BD739D9CD789}">
  <dimension ref="A1:H1"/>
  <sheetViews>
    <sheetView workbookViewId="0">
      <selection sqref="A1:H1"/>
    </sheetView>
  </sheetViews>
  <sheetFormatPr defaultRowHeight="14.5" x14ac:dyDescent="0.35"/>
  <cols>
    <col min="1" max="1" width="52.26953125" customWidth="1"/>
  </cols>
  <sheetData>
    <row r="1" spans="1:8" ht="45" customHeight="1" x14ac:dyDescent="0.35">
      <c r="A1" s="6"/>
      <c r="B1" s="6"/>
      <c r="C1" s="6"/>
      <c r="D1" s="6"/>
      <c r="E1" s="6"/>
      <c r="F1" s="6"/>
      <c r="G1" s="6"/>
      <c r="H1" s="6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0028A-8DBD-4CF0-81AB-52A80BEB009C}">
  <dimension ref="A1:P27"/>
  <sheetViews>
    <sheetView tabSelected="1" topLeftCell="B1" zoomScale="61" workbookViewId="0">
      <selection activeCell="J5" sqref="J5"/>
    </sheetView>
  </sheetViews>
  <sheetFormatPr defaultRowHeight="14.5" x14ac:dyDescent="0.35"/>
  <cols>
    <col min="4" max="4" width="8.81640625" customWidth="1"/>
    <col min="5" max="5" width="13.6328125" bestFit="1" customWidth="1"/>
    <col min="6" max="6" width="14" customWidth="1"/>
    <col min="7" max="7" width="12.1796875" bestFit="1" customWidth="1"/>
    <col min="9" max="9" width="11.90625" customWidth="1"/>
    <col min="10" max="10" width="14.81640625" customWidth="1"/>
    <col min="11" max="11" width="13.453125" customWidth="1"/>
    <col min="12" max="12" width="8.81640625" customWidth="1"/>
    <col min="15" max="15" width="23.6328125" customWidth="1"/>
    <col min="16" max="16" width="21.81640625" bestFit="1" customWidth="1"/>
  </cols>
  <sheetData>
    <row r="1" spans="1:16" ht="44.5" customHeight="1" x14ac:dyDescent="0.8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3" spans="1:16" s="1" customFormat="1" x14ac:dyDescent="0.35">
      <c r="D3" s="1" t="s">
        <v>1</v>
      </c>
      <c r="E3" s="1" t="s">
        <v>2</v>
      </c>
      <c r="F3" s="1" t="s">
        <v>3</v>
      </c>
      <c r="G3" s="1" t="s">
        <v>32</v>
      </c>
      <c r="H3" s="7" t="s">
        <v>4</v>
      </c>
      <c r="I3" s="1" t="s">
        <v>5</v>
      </c>
      <c r="J3" s="1" t="s">
        <v>33</v>
      </c>
      <c r="K3" s="1" t="s">
        <v>34</v>
      </c>
      <c r="L3" s="1" t="s">
        <v>35</v>
      </c>
      <c r="O3" s="1" t="s">
        <v>36</v>
      </c>
      <c r="P3" s="1" t="s">
        <v>48</v>
      </c>
    </row>
    <row r="4" spans="1:16" x14ac:dyDescent="0.35">
      <c r="D4">
        <v>1</v>
      </c>
      <c r="E4" t="s">
        <v>6</v>
      </c>
      <c r="F4" t="s">
        <v>24</v>
      </c>
      <c r="G4" s="2">
        <v>50000</v>
      </c>
      <c r="H4" s="4">
        <v>22</v>
      </c>
      <c r="I4" s="4">
        <v>2</v>
      </c>
      <c r="J4" t="str">
        <f t="shared" ref="J4:J23" si="0">IF(G4&gt;=30000,"High","Low")</f>
        <v>High</v>
      </c>
      <c r="K4" t="str">
        <f>IF(AND(Table1[[#This Row],[Sal(]]&gt;=30000,Table1[[#This Row],[Experience]]&gt;0),"YES","NO")</f>
        <v>YES</v>
      </c>
      <c r="L4" t="str">
        <f>IF(OR(Table1[[#This Row],[Sal(]]&gt;40000,Table1[[#This Row],[Experience]]&gt;=2),"YES","NO")</f>
        <v>YES</v>
      </c>
      <c r="O4" t="s">
        <v>37</v>
      </c>
      <c r="P4">
        <f>COUNT(D4:D23)</f>
        <v>20</v>
      </c>
    </row>
    <row r="5" spans="1:16" x14ac:dyDescent="0.35">
      <c r="D5">
        <v>2</v>
      </c>
      <c r="E5" t="s">
        <v>7</v>
      </c>
      <c r="F5" t="s">
        <v>25</v>
      </c>
      <c r="G5" s="3">
        <v>25000</v>
      </c>
      <c r="H5" s="4">
        <v>35</v>
      </c>
      <c r="I5" s="4">
        <v>1</v>
      </c>
      <c r="J5" t="str">
        <f t="shared" si="0"/>
        <v>Low</v>
      </c>
      <c r="K5" t="str">
        <f>IF(AND(Table1[[#This Row],[Sal(]]&gt;=30000,Table1[[#This Row],[Experience]]&gt;0),"YES","NO")</f>
        <v>NO</v>
      </c>
      <c r="L5" t="str">
        <f>IF(OR(Table1[[#This Row],[Sal(]]&gt;40000,Table1[[#This Row],[Experience]]&gt;=2),"YES","NO")</f>
        <v>NO</v>
      </c>
      <c r="O5" t="s">
        <v>38</v>
      </c>
      <c r="P5">
        <f>COUNT(G4:G23)</f>
        <v>20</v>
      </c>
    </row>
    <row r="6" spans="1:16" x14ac:dyDescent="0.35">
      <c r="D6">
        <v>3</v>
      </c>
      <c r="E6" t="s">
        <v>8</v>
      </c>
      <c r="F6" t="s">
        <v>25</v>
      </c>
      <c r="G6" s="3">
        <v>25000</v>
      </c>
      <c r="H6" s="4">
        <v>21</v>
      </c>
      <c r="I6" s="4">
        <v>1</v>
      </c>
      <c r="J6" t="str">
        <f t="shared" si="0"/>
        <v>Low</v>
      </c>
      <c r="K6" t="str">
        <f>IF(AND(Table1[[#This Row],[Sal(]]&gt;=30000,Table1[[#This Row],[Experience]]&gt;0),"YES","NO")</f>
        <v>NO</v>
      </c>
      <c r="L6" t="str">
        <f>IF(OR(Table1[[#This Row],[Sal(]]&gt;40000,Table1[[#This Row],[Experience]]&gt;=2),"YES","NO")</f>
        <v>NO</v>
      </c>
      <c r="O6" t="s">
        <v>39</v>
      </c>
      <c r="P6" s="3">
        <f>AVERAGE(G4:G23)</f>
        <v>37750</v>
      </c>
    </row>
    <row r="7" spans="1:16" x14ac:dyDescent="0.35">
      <c r="D7">
        <v>4</v>
      </c>
      <c r="E7" t="s">
        <v>9</v>
      </c>
      <c r="F7" t="s">
        <v>29</v>
      </c>
      <c r="G7" s="3">
        <v>30000</v>
      </c>
      <c r="H7" s="4">
        <v>25</v>
      </c>
      <c r="I7" s="4">
        <v>1</v>
      </c>
      <c r="J7" t="str">
        <f t="shared" si="0"/>
        <v>High</v>
      </c>
      <c r="K7" t="str">
        <f>IF(AND(Table1[[#This Row],[Sal(]]&gt;=30000,Table1[[#This Row],[Experience]]&gt;0),"YES","NO")</f>
        <v>YES</v>
      </c>
      <c r="L7" t="str">
        <f>IF(OR(Table1[[#This Row],[Sal(]]&gt;40000,Table1[[#This Row],[Experience]]&gt;=2),"YES","NO")</f>
        <v>NO</v>
      </c>
      <c r="O7" t="s">
        <v>40</v>
      </c>
      <c r="P7" s="3">
        <f>MAX(G4:G23)</f>
        <v>70000</v>
      </c>
    </row>
    <row r="8" spans="1:16" x14ac:dyDescent="0.35">
      <c r="D8">
        <v>5</v>
      </c>
      <c r="E8" t="s">
        <v>10</v>
      </c>
      <c r="F8" t="s">
        <v>25</v>
      </c>
      <c r="G8" s="3">
        <v>25000</v>
      </c>
      <c r="H8" s="4">
        <v>24</v>
      </c>
      <c r="I8" s="4">
        <v>1</v>
      </c>
      <c r="J8" t="str">
        <f t="shared" si="0"/>
        <v>Low</v>
      </c>
      <c r="K8" t="str">
        <f>IF(AND(Table1[[#This Row],[Sal(]]&gt;=30000,Table1[[#This Row],[Experience]]&gt;0),"YES","NO")</f>
        <v>NO</v>
      </c>
      <c r="L8" t="str">
        <f>IF(OR(Table1[[#This Row],[Sal(]]&gt;40000,Table1[[#This Row],[Experience]]&gt;=2),"YES","NO")</f>
        <v>NO</v>
      </c>
      <c r="O8" t="s">
        <v>41</v>
      </c>
      <c r="P8" s="3">
        <f>MIN(G4:G23)</f>
        <v>15000</v>
      </c>
    </row>
    <row r="9" spans="1:16" x14ac:dyDescent="0.35">
      <c r="D9">
        <v>6</v>
      </c>
      <c r="E9" t="s">
        <v>11</v>
      </c>
      <c r="F9" t="s">
        <v>26</v>
      </c>
      <c r="G9" s="3">
        <v>70000</v>
      </c>
      <c r="H9" s="4">
        <v>41</v>
      </c>
      <c r="I9" s="4">
        <v>5</v>
      </c>
      <c r="J9" t="str">
        <f t="shared" si="0"/>
        <v>High</v>
      </c>
      <c r="K9" t="str">
        <f>IF(AND(Table1[[#This Row],[Sal(]]&gt;=30000,Table1[[#This Row],[Experience]]&gt;0),"YES","NO")</f>
        <v>YES</v>
      </c>
      <c r="L9" t="str">
        <f>IF(OR(Table1[[#This Row],[Sal(]]&gt;40000,Table1[[#This Row],[Experience]]&gt;=2),"YES","NO")</f>
        <v>YES</v>
      </c>
      <c r="O9" t="s">
        <v>42</v>
      </c>
      <c r="P9">
        <f>MAX(I4:I23)</f>
        <v>6</v>
      </c>
    </row>
    <row r="10" spans="1:16" x14ac:dyDescent="0.35">
      <c r="D10">
        <v>7</v>
      </c>
      <c r="E10" t="s">
        <v>12</v>
      </c>
      <c r="F10" t="s">
        <v>24</v>
      </c>
      <c r="G10" s="3">
        <v>50000</v>
      </c>
      <c r="H10" s="4">
        <v>28</v>
      </c>
      <c r="I10" s="4">
        <v>3</v>
      </c>
      <c r="J10" t="str">
        <f t="shared" si="0"/>
        <v>High</v>
      </c>
      <c r="K10" t="str">
        <f>IF(AND(Table1[[#This Row],[Sal(]]&gt;=30000,Table1[[#This Row],[Experience]]&gt;0),"YES","NO")</f>
        <v>YES</v>
      </c>
      <c r="L10" t="str">
        <f>IF(OR(Table1[[#This Row],[Sal(]]&gt;40000,Table1[[#This Row],[Experience]]&gt;=2),"YES","NO")</f>
        <v>YES</v>
      </c>
      <c r="O10" t="s">
        <v>43</v>
      </c>
      <c r="P10">
        <f>AVERAGE(H4:H23)</f>
        <v>26.55</v>
      </c>
    </row>
    <row r="11" spans="1:16" x14ac:dyDescent="0.35">
      <c r="D11">
        <v>8</v>
      </c>
      <c r="E11" t="s">
        <v>13</v>
      </c>
      <c r="F11" t="s">
        <v>25</v>
      </c>
      <c r="G11" s="3">
        <v>25000</v>
      </c>
      <c r="H11" s="4">
        <v>21</v>
      </c>
      <c r="I11" s="4">
        <v>1</v>
      </c>
      <c r="J11" t="str">
        <f t="shared" si="0"/>
        <v>Low</v>
      </c>
      <c r="K11" t="str">
        <f>IF(AND(Table1[[#This Row],[Sal(]]&gt;=30000,Table1[[#This Row],[Experience]]&gt;0),"YES","NO")</f>
        <v>NO</v>
      </c>
      <c r="L11" t="str">
        <f>IF(OR(Table1[[#This Row],[Sal(]]&gt;40000,Table1[[#This Row],[Experience]]&gt;=2),"YES","NO")</f>
        <v>NO</v>
      </c>
      <c r="O11" t="s">
        <v>44</v>
      </c>
      <c r="P11">
        <f>COUNTIF(F4:F23,"IT")</f>
        <v>3</v>
      </c>
    </row>
    <row r="12" spans="1:16" x14ac:dyDescent="0.35">
      <c r="D12">
        <v>9</v>
      </c>
      <c r="E12" t="s">
        <v>14</v>
      </c>
      <c r="F12" t="s">
        <v>29</v>
      </c>
      <c r="G12" s="3">
        <v>30000</v>
      </c>
      <c r="H12" s="4">
        <v>26</v>
      </c>
      <c r="I12" s="4">
        <v>1</v>
      </c>
      <c r="J12" t="str">
        <f t="shared" si="0"/>
        <v>High</v>
      </c>
      <c r="K12" t="str">
        <f>IF(AND(Table1[[#This Row],[Sal(]]&gt;=30000,Table1[[#This Row],[Experience]]&gt;0),"YES","NO")</f>
        <v>YES</v>
      </c>
      <c r="L12" t="str">
        <f>IF(OR(Table1[[#This Row],[Sal(]]&gt;40000,Table1[[#This Row],[Experience]]&gt;=2),"YES","NO")</f>
        <v>NO</v>
      </c>
      <c r="O12" t="s">
        <v>45</v>
      </c>
      <c r="P12">
        <f>COUNTIF(F4:F23,"HR")</f>
        <v>3</v>
      </c>
    </row>
    <row r="13" spans="1:16" x14ac:dyDescent="0.35">
      <c r="D13">
        <v>10</v>
      </c>
      <c r="E13" t="s">
        <v>15</v>
      </c>
      <c r="F13" t="s">
        <v>25</v>
      </c>
      <c r="G13" s="3">
        <v>25000</v>
      </c>
      <c r="H13" s="4">
        <v>27</v>
      </c>
      <c r="I13" s="4">
        <v>1</v>
      </c>
      <c r="J13" t="str">
        <f t="shared" si="0"/>
        <v>Low</v>
      </c>
      <c r="K13" t="str">
        <f>IF(AND(Table1[[#This Row],[Sal(]]&gt;=30000,Table1[[#This Row],[Experience]]&gt;0),"YES","NO")</f>
        <v>NO</v>
      </c>
      <c r="L13" t="str">
        <f>IF(OR(Table1[[#This Row],[Sal(]]&gt;40000,Table1[[#This Row],[Experience]]&gt;=2),"YES","NO")</f>
        <v>NO</v>
      </c>
      <c r="O13" t="s">
        <v>46</v>
      </c>
      <c r="P13">
        <f>COUNTIF(F4:F23,"SALES")</f>
        <v>7</v>
      </c>
    </row>
    <row r="14" spans="1:16" x14ac:dyDescent="0.35">
      <c r="D14">
        <v>11</v>
      </c>
      <c r="E14" t="s">
        <v>16</v>
      </c>
      <c r="F14" t="s">
        <v>24</v>
      </c>
      <c r="G14" s="3">
        <v>50000</v>
      </c>
      <c r="H14" s="4">
        <v>30</v>
      </c>
      <c r="I14" s="4">
        <v>2</v>
      </c>
      <c r="J14" t="str">
        <f t="shared" si="0"/>
        <v>High</v>
      </c>
      <c r="K14" t="str">
        <f>IF(AND(Table1[[#This Row],[Sal(]]&gt;=30000,Table1[[#This Row],[Experience]]&gt;0),"YES","NO")</f>
        <v>YES</v>
      </c>
      <c r="L14" t="str">
        <f>IF(OR(Table1[[#This Row],[Sal(]]&gt;40000,Table1[[#This Row],[Experience]]&gt;=2),"YES","NO")</f>
        <v>YES</v>
      </c>
      <c r="O14" t="s">
        <v>47</v>
      </c>
      <c r="P14">
        <f>COUNTIF(F4:F23,"MARKETING")</f>
        <v>3</v>
      </c>
    </row>
    <row r="15" spans="1:16" x14ac:dyDescent="0.35">
      <c r="D15">
        <v>12</v>
      </c>
      <c r="E15" t="s">
        <v>10</v>
      </c>
      <c r="F15" t="s">
        <v>27</v>
      </c>
      <c r="G15" s="3">
        <v>60000</v>
      </c>
      <c r="H15" s="4">
        <v>31</v>
      </c>
      <c r="I15" s="4">
        <v>1</v>
      </c>
      <c r="J15" t="str">
        <f t="shared" si="0"/>
        <v>High</v>
      </c>
      <c r="K15" t="str">
        <f>IF(AND(Table1[[#This Row],[Sal(]]&gt;=30000,Table1[[#This Row],[Experience]]&gt;0),"YES","NO")</f>
        <v>YES</v>
      </c>
      <c r="L15" t="str">
        <f>IF(OR(Table1[[#This Row],[Sal(]]&gt;40000,Table1[[#This Row],[Experience]]&gt;=2),"YES","NO")</f>
        <v>YES</v>
      </c>
    </row>
    <row r="16" spans="1:16" x14ac:dyDescent="0.35">
      <c r="D16">
        <v>13</v>
      </c>
      <c r="E16" t="s">
        <v>17</v>
      </c>
      <c r="F16" t="s">
        <v>30</v>
      </c>
      <c r="G16" s="3">
        <v>40000</v>
      </c>
      <c r="H16" s="4">
        <v>40</v>
      </c>
      <c r="I16" s="4">
        <v>2</v>
      </c>
      <c r="J16" t="str">
        <f t="shared" si="0"/>
        <v>High</v>
      </c>
      <c r="K16" t="str">
        <f>IF(AND(Table1[[#This Row],[Sal(]]&gt;=30000,Table1[[#This Row],[Experience]]&gt;0),"YES","NO")</f>
        <v>YES</v>
      </c>
      <c r="L16" t="str">
        <f>IF(OR(Table1[[#This Row],[Sal(]]&gt;40000,Table1[[#This Row],[Experience]]&gt;=2),"YES","NO")</f>
        <v>YES</v>
      </c>
    </row>
    <row r="17" spans="4:12" x14ac:dyDescent="0.35">
      <c r="D17">
        <v>14</v>
      </c>
      <c r="E17" t="s">
        <v>28</v>
      </c>
      <c r="F17" t="s">
        <v>31</v>
      </c>
      <c r="G17" s="3">
        <v>15000</v>
      </c>
      <c r="H17" s="4">
        <v>19</v>
      </c>
      <c r="I17" s="4">
        <v>1</v>
      </c>
      <c r="J17" t="str">
        <f t="shared" si="0"/>
        <v>Low</v>
      </c>
      <c r="K17" t="str">
        <f>IF(AND(Table1[[#This Row],[Sal(]]&gt;=30000,Table1[[#This Row],[Experience]]&gt;0),"YES","NO")</f>
        <v>NO</v>
      </c>
      <c r="L17" t="str">
        <f>IF(OR(Table1[[#This Row],[Sal(]]&gt;40000,Table1[[#This Row],[Experience]]&gt;=2),"YES","NO")</f>
        <v>NO</v>
      </c>
    </row>
    <row r="18" spans="4:12" x14ac:dyDescent="0.35">
      <c r="D18">
        <v>15</v>
      </c>
      <c r="E18" t="s">
        <v>18</v>
      </c>
      <c r="F18" t="s">
        <v>26</v>
      </c>
      <c r="G18" s="3">
        <v>70000</v>
      </c>
      <c r="H18" s="4">
        <v>21</v>
      </c>
      <c r="I18" s="4">
        <v>5</v>
      </c>
      <c r="J18" t="str">
        <f t="shared" si="0"/>
        <v>High</v>
      </c>
      <c r="K18" t="str">
        <f>IF(AND(Table1[[#This Row],[Sal(]]&gt;=30000,Table1[[#This Row],[Experience]]&gt;0),"YES","NO")</f>
        <v>YES</v>
      </c>
      <c r="L18" t="str">
        <f>IF(OR(Table1[[#This Row],[Sal(]]&gt;40000,Table1[[#This Row],[Experience]]&gt;=2),"YES","NO")</f>
        <v>YES</v>
      </c>
    </row>
    <row r="19" spans="4:12" x14ac:dyDescent="0.35">
      <c r="D19">
        <v>16</v>
      </c>
      <c r="E19" t="s">
        <v>19</v>
      </c>
      <c r="F19" t="s">
        <v>31</v>
      </c>
      <c r="G19" s="3">
        <v>15000</v>
      </c>
      <c r="H19" s="4">
        <v>20</v>
      </c>
      <c r="I19" s="4">
        <v>0</v>
      </c>
      <c r="J19" t="str">
        <f t="shared" si="0"/>
        <v>Low</v>
      </c>
      <c r="K19" t="str">
        <f>IF(AND(Table1[[#This Row],[Sal(]]&gt;=30000,Table1[[#This Row],[Experience]]&gt;0),"YES","NO")</f>
        <v>NO</v>
      </c>
      <c r="L19" t="str">
        <f>IF(OR(Table1[[#This Row],[Sal(]]&gt;40000,Table1[[#This Row],[Experience]]&gt;=2),"YES","NO")</f>
        <v>NO</v>
      </c>
    </row>
    <row r="20" spans="4:12" x14ac:dyDescent="0.35">
      <c r="D20">
        <v>17</v>
      </c>
      <c r="E20" t="s">
        <v>20</v>
      </c>
      <c r="F20" t="s">
        <v>25</v>
      </c>
      <c r="G20" s="3">
        <v>25000</v>
      </c>
      <c r="H20" s="4">
        <v>22</v>
      </c>
      <c r="I20" s="4">
        <v>1</v>
      </c>
      <c r="J20" t="str">
        <f t="shared" si="0"/>
        <v>Low</v>
      </c>
      <c r="K20" t="str">
        <f>IF(AND(Table1[[#This Row],[Sal(]]&gt;=30000,Table1[[#This Row],[Experience]]&gt;0),"YES","NO")</f>
        <v>NO</v>
      </c>
      <c r="L20" t="str">
        <f>IF(OR(Table1[[#This Row],[Sal(]]&gt;40000,Table1[[#This Row],[Experience]]&gt;=2),"YES","NO")</f>
        <v>NO</v>
      </c>
    </row>
    <row r="21" spans="4:12" x14ac:dyDescent="0.35">
      <c r="D21">
        <v>18</v>
      </c>
      <c r="E21" t="s">
        <v>21</v>
      </c>
      <c r="F21" t="s">
        <v>29</v>
      </c>
      <c r="G21" s="3">
        <v>30000</v>
      </c>
      <c r="H21" s="4">
        <v>24</v>
      </c>
      <c r="I21" s="4">
        <v>2</v>
      </c>
      <c r="J21" t="str">
        <f t="shared" si="0"/>
        <v>High</v>
      </c>
      <c r="K21" t="str">
        <f>IF(AND(Table1[[#This Row],[Sal(]]&gt;=30000,Table1[[#This Row],[Experience]]&gt;0),"YES","NO")</f>
        <v>YES</v>
      </c>
      <c r="L21" t="str">
        <f>IF(OR(Table1[[#This Row],[Sal(]]&gt;40000,Table1[[#This Row],[Experience]]&gt;=2),"YES","NO")</f>
        <v>YES</v>
      </c>
    </row>
    <row r="22" spans="4:12" x14ac:dyDescent="0.35">
      <c r="D22">
        <v>19</v>
      </c>
      <c r="E22" t="s">
        <v>22</v>
      </c>
      <c r="F22" t="s">
        <v>26</v>
      </c>
      <c r="G22" s="3">
        <v>70000</v>
      </c>
      <c r="H22" s="4">
        <v>25</v>
      </c>
      <c r="I22" s="4">
        <v>6</v>
      </c>
      <c r="J22" t="str">
        <f t="shared" si="0"/>
        <v>High</v>
      </c>
      <c r="K22" t="str">
        <f>IF(AND(Table1[[#This Row],[Sal(]]&gt;=30000,Table1[[#This Row],[Experience]]&gt;0),"YES","NO")</f>
        <v>YES</v>
      </c>
      <c r="L22" t="str">
        <f>IF(OR(Table1[[#This Row],[Sal(]]&gt;40000,Table1[[#This Row],[Experience]]&gt;=2),"YES","NO")</f>
        <v>YES</v>
      </c>
    </row>
    <row r="23" spans="4:12" x14ac:dyDescent="0.35">
      <c r="D23">
        <v>20</v>
      </c>
      <c r="E23" t="s">
        <v>23</v>
      </c>
      <c r="F23" t="s">
        <v>25</v>
      </c>
      <c r="G23" s="3">
        <v>25000</v>
      </c>
      <c r="H23" s="4">
        <v>29</v>
      </c>
      <c r="I23" s="4">
        <v>2</v>
      </c>
      <c r="J23" t="str">
        <f t="shared" si="0"/>
        <v>Low</v>
      </c>
      <c r="K23" t="str">
        <f>IF(AND(Table1[[#This Row],[Sal(]]&gt;=30000,Table1[[#This Row],[Experience]]&gt;0),"YES","NO")</f>
        <v>NO</v>
      </c>
      <c r="L23" t="str">
        <f>IF(OR(Table1[[#This Row],[Sal(]]&gt;40000,Table1[[#This Row],[Experience]]&gt;=2),"YES","NO")</f>
        <v>YES</v>
      </c>
    </row>
    <row r="24" spans="4:12" x14ac:dyDescent="0.35">
      <c r="E24" s="8"/>
      <c r="G24" s="3"/>
    </row>
    <row r="25" spans="4:12" x14ac:dyDescent="0.35">
      <c r="G25" s="3"/>
    </row>
    <row r="26" spans="4:12" x14ac:dyDescent="0.35">
      <c r="G26" s="3"/>
    </row>
    <row r="27" spans="4:12" x14ac:dyDescent="0.35">
      <c r="G27" s="3"/>
    </row>
  </sheetData>
  <mergeCells count="1">
    <mergeCell ref="A1:P1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Anshika Sharma</dc:creator>
  <cp:lastModifiedBy>Anshika Sharma</cp:lastModifiedBy>
  <dcterms:created xsi:type="dcterms:W3CDTF">2026-07-22T07:42:24Z</dcterms:created>
  <dcterms:modified xsi:type="dcterms:W3CDTF">2026-07-29T23:15:30Z</dcterms:modified>
</cp:coreProperties>
</file>